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ma\Desktop\견적서 양식\광고, 영화, OTT\compressed (1)\"/>
    </mc:Choice>
  </mc:AlternateContent>
  <bookViews>
    <workbookView xWindow="-105" yWindow="-105" windowWidth="19425" windowHeight="10305"/>
  </bookViews>
  <sheets>
    <sheet name="sales" sheetId="1" r:id="rId1"/>
  </sheets>
  <definedNames>
    <definedName name="_xlnm.Print_Area" localSheetId="0">sales!$A$1:$I$58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I12" i="1" s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F48" i="1"/>
  <c r="G48" i="1"/>
  <c r="H48" i="1"/>
  <c r="C10" i="1" l="1"/>
  <c r="B10" i="1" s="1"/>
  <c r="I48" i="1"/>
</calcChain>
</file>

<file path=xl/sharedStrings.xml><?xml version="1.0" encoding="utf-8"?>
<sst xmlns="http://schemas.openxmlformats.org/spreadsheetml/2006/main" count="102" uniqueCount="100">
  <si>
    <t> DATE</t>
  </si>
  <si>
    <t>등록번호</t>
  </si>
  <si>
    <t xml:space="preserve"> </t>
  </si>
  <si>
    <t>No</t>
  </si>
  <si>
    <t>규격</t>
  </si>
  <si>
    <t>단위</t>
  </si>
  <si>
    <t>QTY</t>
  </si>
  <si>
    <t>TOTAL</t>
  </si>
  <si>
    <t xml:space="preserve"> </t>
    <phoneticPr fontId="2" type="noConversion"/>
  </si>
  <si>
    <t>상 호 명</t>
  </si>
  <si>
    <t>: (주) 미 디 어 큐 브</t>
  </si>
  <si>
    <t xml:space="preserve"> 수 신</t>
  </si>
  <si>
    <t>대 표 자</t>
  </si>
  <si>
    <t>소 재 지</t>
  </si>
  <si>
    <t> 제 목</t>
  </si>
  <si>
    <t>공급가액</t>
    <phoneticPr fontId="2" type="noConversion"/>
  </si>
  <si>
    <t xml:space="preserve"> </t>
    <phoneticPr fontId="2" type="noConversion"/>
  </si>
  <si>
    <t>품           목</t>
    <phoneticPr fontId="2" type="noConversion"/>
  </si>
  <si>
    <t>코  드</t>
    <phoneticPr fontId="2" type="noConversion"/>
  </si>
  <si>
    <t>단  가</t>
    <phoneticPr fontId="2" type="noConversion"/>
  </si>
  <si>
    <t xml:space="preserve">:  Annual Blanket License </t>
    <phoneticPr fontId="2" type="noConversion"/>
  </si>
  <si>
    <t xml:space="preserve">Annual Blanket License </t>
    <phoneticPr fontId="2" type="noConversion"/>
  </si>
  <si>
    <t>EA</t>
    <phoneticPr fontId="2" type="noConversion"/>
  </si>
  <si>
    <t>비 고</t>
    <phoneticPr fontId="2" type="noConversion"/>
  </si>
  <si>
    <t>: 114 - 86 - 09186</t>
    <phoneticPr fontId="2" type="noConversion"/>
  </si>
  <si>
    <t>부가가치세</t>
    <phoneticPr fontId="2" type="noConversion"/>
  </si>
  <si>
    <t>거  래  명  세  서</t>
    <phoneticPr fontId="2" type="noConversion"/>
  </si>
  <si>
    <t xml:space="preserve">   업  태</t>
    <phoneticPr fontId="2" type="noConversion"/>
  </si>
  <si>
    <t xml:space="preserve">    Tel</t>
    <phoneticPr fontId="2" type="noConversion"/>
  </si>
  <si>
    <r>
      <t xml:space="preserve">: 서비스   /  </t>
    </r>
    <r>
      <rPr>
        <b/>
        <sz val="11.5"/>
        <rFont val="맑은 고딕"/>
        <family val="3"/>
        <charset val="129"/>
      </rPr>
      <t xml:space="preserve"> 종  목</t>
    </r>
    <r>
      <rPr>
        <sz val="11.5"/>
        <rFont val="맑은 고딕"/>
        <family val="3"/>
        <charset val="129"/>
      </rPr>
      <t xml:space="preserve"> : 사운드</t>
    </r>
    <phoneticPr fontId="2" type="noConversion"/>
  </si>
  <si>
    <r>
      <t xml:space="preserve">: 02) 534-8408 </t>
    </r>
    <r>
      <rPr>
        <b/>
        <sz val="11"/>
        <rFont val="맑은 고딕"/>
        <family val="3"/>
        <charset val="129"/>
      </rPr>
      <t xml:space="preserve"> Fax</t>
    </r>
    <r>
      <rPr>
        <sz val="11"/>
        <rFont val="맑은 고딕"/>
        <family val="3"/>
        <charset val="129"/>
      </rPr>
      <t xml:space="preserve"> : 02) 534-8486</t>
    </r>
    <phoneticPr fontId="2" type="noConversion"/>
  </si>
  <si>
    <t>: 김      재      경 (인)</t>
    <phoneticPr fontId="2" type="noConversion"/>
  </si>
  <si>
    <t>FILE</t>
    <phoneticPr fontId="2" type="noConversion"/>
  </si>
  <si>
    <t>FILE</t>
    <phoneticPr fontId="2" type="noConversion"/>
  </si>
  <si>
    <r>
      <t xml:space="preserve">  </t>
    </r>
    <r>
      <rPr>
        <b/>
        <sz val="13"/>
        <rFont val="맑은 고딕"/>
        <family val="3"/>
        <charset val="129"/>
      </rPr>
      <t>아래와 같이 계산합니다.</t>
    </r>
    <phoneticPr fontId="2" type="noConversion"/>
  </si>
  <si>
    <t>:  (주) 국민은행</t>
    <phoneticPr fontId="2" type="noConversion"/>
  </si>
  <si>
    <t>합계     금액</t>
    <phoneticPr fontId="2" type="noConversion"/>
  </si>
  <si>
    <t xml:space="preserve">   kb103060@kbfg.com</t>
    <phoneticPr fontId="2" type="noConversion"/>
  </si>
  <si>
    <t>: 서울시 강남구 논현로 136길 16</t>
    <phoneticPr fontId="2" type="noConversion"/>
  </si>
  <si>
    <t>4TVM378</t>
    <phoneticPr fontId="2" type="noConversion"/>
  </si>
  <si>
    <t>7SM064</t>
    <phoneticPr fontId="2" type="noConversion"/>
  </si>
  <si>
    <t>AA307</t>
    <phoneticPr fontId="2" type="noConversion"/>
  </si>
  <si>
    <t>ALIVE084</t>
    <phoneticPr fontId="2" type="noConversion"/>
  </si>
  <si>
    <t>AU175</t>
    <phoneticPr fontId="2" type="noConversion"/>
  </si>
  <si>
    <t>BGGR326</t>
    <phoneticPr fontId="2" type="noConversion"/>
  </si>
  <si>
    <t>CWM0156</t>
    <phoneticPr fontId="2" type="noConversion"/>
  </si>
  <si>
    <t>DP006</t>
    <phoneticPr fontId="2" type="noConversion"/>
  </si>
  <si>
    <t>EMM539</t>
    <phoneticPr fontId="2" type="noConversion"/>
  </si>
  <si>
    <t>EMM540</t>
    <phoneticPr fontId="2" type="noConversion"/>
  </si>
  <si>
    <t>FMCD315</t>
    <phoneticPr fontId="2" type="noConversion"/>
  </si>
  <si>
    <t>GM283</t>
    <phoneticPr fontId="2" type="noConversion"/>
  </si>
  <si>
    <t>IPM160</t>
    <phoneticPr fontId="2" type="noConversion"/>
  </si>
  <si>
    <t>KOM2195</t>
    <phoneticPr fontId="2" type="noConversion"/>
  </si>
  <si>
    <t>KOM2196</t>
    <phoneticPr fontId="2" type="noConversion"/>
  </si>
  <si>
    <t>LKY0062</t>
    <phoneticPr fontId="2" type="noConversion"/>
  </si>
  <si>
    <t>LKY0088</t>
    <phoneticPr fontId="2" type="noConversion"/>
  </si>
  <si>
    <t>LPM212</t>
    <phoneticPr fontId="2" type="noConversion"/>
  </si>
  <si>
    <t>LPM225</t>
    <phoneticPr fontId="2" type="noConversion"/>
  </si>
  <si>
    <t>MHC008</t>
    <phoneticPr fontId="2" type="noConversion"/>
  </si>
  <si>
    <t>NM365</t>
    <phoneticPr fontId="2" type="noConversion"/>
  </si>
  <si>
    <t>NUVS1090</t>
    <phoneticPr fontId="2" type="noConversion"/>
  </si>
  <si>
    <t>PLX134</t>
    <phoneticPr fontId="2" type="noConversion"/>
  </si>
  <si>
    <t>POP-PS-348</t>
    <phoneticPr fontId="2" type="noConversion"/>
  </si>
  <si>
    <t>PTH0044</t>
    <phoneticPr fontId="2" type="noConversion"/>
  </si>
  <si>
    <t>SCOP139</t>
    <phoneticPr fontId="2" type="noConversion"/>
  </si>
  <si>
    <t>STAY008</t>
    <phoneticPr fontId="2" type="noConversion"/>
  </si>
  <si>
    <t>STYE1151</t>
    <phoneticPr fontId="2" type="noConversion"/>
  </si>
  <si>
    <t>SYP048</t>
    <phoneticPr fontId="2" type="noConversion"/>
  </si>
  <si>
    <t>VOX1030</t>
    <phoneticPr fontId="2" type="noConversion"/>
  </si>
  <si>
    <t>Happy_Time_-_Feel_Good_Guitars</t>
    <phoneticPr fontId="2" type="noConversion"/>
  </si>
  <si>
    <t>Inspirational_Indie</t>
    <phoneticPr fontId="2" type="noConversion"/>
  </si>
  <si>
    <t>Sunny_Side</t>
    <phoneticPr fontId="2" type="noConversion"/>
  </si>
  <si>
    <t>Up_Up_and_Away</t>
    <phoneticPr fontId="2" type="noConversion"/>
  </si>
  <si>
    <t>Lifestyle_Symphony_Of_Love</t>
    <phoneticPr fontId="2" type="noConversion"/>
  </si>
  <si>
    <t>Positive_Build</t>
    <phoneticPr fontId="2" type="noConversion"/>
  </si>
  <si>
    <t>Motivation_Business_Vol_2</t>
    <phoneticPr fontId="2" type="noConversion"/>
  </si>
  <si>
    <t>Lightbulb_Minimalism</t>
    <phoneticPr fontId="2" type="noConversion"/>
  </si>
  <si>
    <t>Bright_Orchestral_Futures</t>
    <phoneticPr fontId="2" type="noConversion"/>
  </si>
  <si>
    <t>Jazz_Manouche</t>
    <phoneticPr fontId="2" type="noConversion"/>
  </si>
  <si>
    <t>Inspiring_Commercial</t>
    <phoneticPr fontId="2" type="noConversion"/>
  </si>
  <si>
    <t>Patriotism (All edits and  versions)</t>
    <phoneticPr fontId="2" type="noConversion"/>
  </si>
  <si>
    <t>Uplifting_Ideas</t>
    <phoneticPr fontId="2" type="noConversion"/>
  </si>
  <si>
    <t>Reveals _ Uplifting Pop (All edits and  versions)</t>
    <phoneticPr fontId="2" type="noConversion"/>
  </si>
  <si>
    <t>Fun Indie Guitars (All edits and  versions)</t>
    <phoneticPr fontId="2" type="noConversion"/>
  </si>
  <si>
    <t>Sync_City</t>
    <phoneticPr fontId="2" type="noConversion"/>
  </si>
  <si>
    <t>Feel_Good_Friday</t>
    <phoneticPr fontId="2" type="noConversion"/>
  </si>
  <si>
    <t>Orchestral_Patterns_II</t>
    <phoneticPr fontId="2" type="noConversion"/>
  </si>
  <si>
    <t>Advertising_Cues_2</t>
    <phoneticPr fontId="2" type="noConversion"/>
  </si>
  <si>
    <t>Dreamers</t>
    <phoneticPr fontId="2" type="noConversion"/>
  </si>
  <si>
    <t>Motivations (All edits and  versions)</t>
    <phoneticPr fontId="2" type="noConversion"/>
  </si>
  <si>
    <t>Corporate_Momentum</t>
    <phoneticPr fontId="2" type="noConversion"/>
  </si>
  <si>
    <t>News_-_Heroic_Victory_Vol_2</t>
    <phoneticPr fontId="2" type="noConversion"/>
  </si>
  <si>
    <t>Lemony_Fruity</t>
    <phoneticPr fontId="2" type="noConversion"/>
  </si>
  <si>
    <t>The_Uplifters_II_(Uplifting_Family_Adventure)</t>
    <phoneticPr fontId="2" type="noConversion"/>
  </si>
  <si>
    <t>Funky_Breaks</t>
    <phoneticPr fontId="2" type="noConversion"/>
  </si>
  <si>
    <t>Epic_Orchestral_Action</t>
    <phoneticPr fontId="2" type="noConversion"/>
  </si>
  <si>
    <t>Uplift_(Inspiring_Uplifting_Epic_Orchestral_Cues)</t>
    <phoneticPr fontId="2" type="noConversion"/>
  </si>
  <si>
    <t>News_-_Headlines_News</t>
    <phoneticPr fontId="2" type="noConversion"/>
  </si>
  <si>
    <t>Carefree_Indie_Vocals</t>
    <phoneticPr fontId="2" type="noConversion"/>
  </si>
  <si>
    <t>:  2026년 01월 08일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</si>
</sst>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22"/>
      <name val="돋움"/>
      <family val="3"/>
      <charset val="129"/>
    </font>
    <font>
      <b/>
      <sz val="13"/>
      <name val="맑은 고딕"/>
      <family val="3"/>
      <charset val="129"/>
    </font>
    <font>
      <sz val="11"/>
      <name val="맑은 고딕"/>
      <family val="3"/>
      <charset val="129"/>
    </font>
    <font>
      <sz val="11.5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.5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.5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1.5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.5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2.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Border="1"/>
    <xf numFmtId="0" fontId="3" fillId="0" borderId="0" xfId="0" applyFont="1"/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176" fontId="13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3" fontId="14" fillId="0" borderId="6" xfId="0" applyNumberFormat="1" applyFont="1" applyBorder="1" applyAlignment="1">
      <alignment horizontal="right" vertical="center"/>
    </xf>
    <xf numFmtId="3" fontId="12" fillId="0" borderId="6" xfId="0" applyNumberFormat="1" applyFont="1" applyBorder="1" applyAlignment="1">
      <alignment horizontal="right" vertical="center"/>
    </xf>
    <xf numFmtId="3" fontId="12" fillId="0" borderId="7" xfId="0" applyNumberFormat="1" applyFont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0" borderId="9" xfId="0" applyFont="1" applyFill="1" applyBorder="1"/>
    <xf numFmtId="0" fontId="11" fillId="0" borderId="0" xfId="0" applyFont="1" applyBorder="1"/>
    <xf numFmtId="0" fontId="10" fillId="0" borderId="10" xfId="0" applyFont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10" fillId="2" borderId="12" xfId="0" applyFont="1" applyFill="1" applyBorder="1"/>
    <xf numFmtId="0" fontId="11" fillId="0" borderId="13" xfId="0" applyFont="1" applyBorder="1"/>
    <xf numFmtId="0" fontId="11" fillId="0" borderId="14" xfId="0" applyFont="1" applyBorder="1"/>
    <xf numFmtId="0" fontId="15" fillId="0" borderId="0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7" fillId="0" borderId="0" xfId="0" applyFont="1" applyBorder="1" applyAlignment="1">
      <alignment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6" fillId="2" borderId="6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3" fontId="16" fillId="2" borderId="6" xfId="0" applyNumberFormat="1" applyFont="1" applyFill="1" applyBorder="1" applyAlignment="1">
      <alignment horizontal="center" vertical="center"/>
    </xf>
    <xf numFmtId="41" fontId="16" fillId="2" borderId="6" xfId="1" applyFont="1" applyFill="1" applyBorder="1" applyAlignment="1">
      <alignment vertical="center"/>
    </xf>
    <xf numFmtId="41" fontId="16" fillId="2" borderId="6" xfId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3" fontId="16" fillId="2" borderId="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/>
    </xf>
    <xf numFmtId="3" fontId="9" fillId="0" borderId="7" xfId="0" applyNumberFormat="1" applyFont="1" applyBorder="1" applyAlignment="1">
      <alignment horizontal="right" vertical="center"/>
    </xf>
    <xf numFmtId="0" fontId="22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2" fillId="0" borderId="6" xfId="0" applyFont="1" applyFill="1" applyBorder="1" applyAlignment="1">
      <alignment horizontal="left" vertical="center"/>
    </xf>
    <xf numFmtId="41" fontId="16" fillId="0" borderId="6" xfId="1" applyFont="1" applyFill="1" applyBorder="1" applyAlignment="1">
      <alignment horizontal="center" vertical="center"/>
    </xf>
    <xf numFmtId="3" fontId="16" fillId="0" borderId="7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49" fontId="11" fillId="0" borderId="6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176" fontId="13" fillId="0" borderId="3" xfId="2" applyNumberFormat="1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133350</xdr:rowOff>
    </xdr:from>
    <xdr:to>
      <xdr:col>1</xdr:col>
      <xdr:colOff>952500</xdr:colOff>
      <xdr:row>0</xdr:row>
      <xdr:rowOff>482600</xdr:rowOff>
    </xdr:to>
    <xdr:pic>
      <xdr:nvPicPr>
        <xdr:cNvPr id="1028" name="Picture 1" descr="Untitled-1 copy">
          <a:extLst>
            <a:ext uri="{FF2B5EF4-FFF2-40B4-BE49-F238E27FC236}">
              <a16:creationId xmlns:a16="http://schemas.microsoft.com/office/drawing/2014/main" id="{85DAFD20-FF52-4CD2-821E-F8FB9D0DB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133350"/>
          <a:ext cx="13843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showGridLines="0" tabSelected="1" zoomScale="85" zoomScaleNormal="85" workbookViewId="0">
      <selection activeCell="Q5" sqref="Q5"/>
    </sheetView>
  </sheetViews>
  <sheetFormatPr defaultRowHeight="13.5" x14ac:dyDescent="0.15"/>
  <cols>
    <col min="1" max="1" width="8.33203125" customWidth="1"/>
    <col min="2" max="2" width="32.77734375" customWidth="1"/>
    <col min="3" max="3" width="14" customWidth="1"/>
    <col min="4" max="5" width="6.33203125" customWidth="1"/>
    <col min="6" max="6" width="7.5546875" customWidth="1"/>
    <col min="7" max="7" width="11" customWidth="1"/>
    <col min="8" max="8" width="11.33203125" style="1" customWidth="1"/>
    <col min="9" max="9" width="10.44140625" customWidth="1"/>
    <col min="10" max="10" width="1.88671875" customWidth="1"/>
  </cols>
  <sheetData>
    <row r="1" spans="1:11" ht="45.75" customHeight="1" x14ac:dyDescent="0.15">
      <c r="A1" s="69" t="s">
        <v>26</v>
      </c>
      <c r="B1" s="70"/>
      <c r="C1" s="70"/>
      <c r="D1" s="70"/>
      <c r="E1" s="70"/>
      <c r="F1" s="70"/>
      <c r="G1" s="70"/>
      <c r="H1" s="70"/>
      <c r="I1" s="71"/>
    </row>
    <row r="2" spans="1:11" ht="13.5" customHeight="1" x14ac:dyDescent="0.15">
      <c r="A2" s="72"/>
      <c r="B2" s="73"/>
      <c r="C2" s="73"/>
      <c r="D2" s="73"/>
      <c r="E2" s="73"/>
      <c r="F2" s="73"/>
      <c r="G2" s="73"/>
      <c r="H2" s="73"/>
      <c r="I2" s="74"/>
    </row>
    <row r="3" spans="1:11" ht="26.1" customHeight="1" x14ac:dyDescent="0.15">
      <c r="A3" s="53" t="s">
        <v>0</v>
      </c>
      <c r="B3" s="36" t="s">
        <v>99</v>
      </c>
      <c r="C3" s="4"/>
      <c r="D3" s="4"/>
      <c r="E3" s="4"/>
      <c r="F3" s="55" t="s">
        <v>1</v>
      </c>
      <c r="G3" s="39" t="s">
        <v>24</v>
      </c>
      <c r="H3" s="6"/>
      <c r="I3" s="7"/>
    </row>
    <row r="4" spans="1:11" ht="26.1" customHeight="1" x14ac:dyDescent="0.15">
      <c r="A4" s="53" t="s">
        <v>2</v>
      </c>
      <c r="B4" s="3" t="s">
        <v>2</v>
      </c>
      <c r="C4" s="4"/>
      <c r="D4" s="4"/>
      <c r="E4" s="4"/>
      <c r="F4" s="55" t="s">
        <v>9</v>
      </c>
      <c r="G4" s="36" t="s">
        <v>10</v>
      </c>
      <c r="H4" s="5"/>
      <c r="I4" s="7"/>
    </row>
    <row r="5" spans="1:11" ht="26.1" customHeight="1" x14ac:dyDescent="0.15">
      <c r="A5" s="53" t="s">
        <v>11</v>
      </c>
      <c r="B5" s="41" t="s">
        <v>35</v>
      </c>
      <c r="C5" s="4"/>
      <c r="D5" s="4"/>
      <c r="E5" s="4"/>
      <c r="F5" s="55" t="s">
        <v>12</v>
      </c>
      <c r="G5" s="3" t="s">
        <v>31</v>
      </c>
      <c r="H5" s="8"/>
      <c r="I5" s="7"/>
    </row>
    <row r="6" spans="1:11" ht="26.1" customHeight="1" x14ac:dyDescent="0.15">
      <c r="A6" s="53"/>
      <c r="B6" s="66" t="s">
        <v>37</v>
      </c>
      <c r="C6" s="4"/>
      <c r="D6" s="4"/>
      <c r="E6" s="4"/>
      <c r="F6" s="55" t="s">
        <v>13</v>
      </c>
      <c r="G6" s="3" t="s">
        <v>38</v>
      </c>
      <c r="H6" s="4"/>
      <c r="I6" s="7"/>
    </row>
    <row r="7" spans="1:11" ht="26.1" customHeight="1" x14ac:dyDescent="0.15">
      <c r="A7" s="53" t="s">
        <v>14</v>
      </c>
      <c r="B7" s="31" t="s">
        <v>20</v>
      </c>
      <c r="C7" s="4"/>
      <c r="D7" s="4"/>
      <c r="E7" s="4"/>
      <c r="F7" s="55" t="s">
        <v>27</v>
      </c>
      <c r="G7" s="51" t="s">
        <v>29</v>
      </c>
      <c r="H7" s="4"/>
      <c r="I7" s="7"/>
    </row>
    <row r="8" spans="1:11" ht="26.1" customHeight="1" x14ac:dyDescent="0.15">
      <c r="A8" s="32"/>
      <c r="B8" s="31"/>
      <c r="C8" s="4"/>
      <c r="D8" s="4"/>
      <c r="E8" s="4"/>
      <c r="F8" s="55" t="s">
        <v>28</v>
      </c>
      <c r="G8" s="5" t="s">
        <v>30</v>
      </c>
      <c r="H8" s="4"/>
      <c r="I8" s="7"/>
    </row>
    <row r="9" spans="1:11" ht="31.5" customHeight="1" x14ac:dyDescent="0.15">
      <c r="A9" s="75" t="s">
        <v>34</v>
      </c>
      <c r="B9" s="76"/>
      <c r="C9" s="4"/>
      <c r="D9" s="4"/>
      <c r="E9" s="4"/>
      <c r="F9" s="54"/>
      <c r="G9" s="3"/>
      <c r="H9" s="4"/>
      <c r="I9" s="7"/>
    </row>
    <row r="10" spans="1:11" ht="50.25" customHeight="1" x14ac:dyDescent="0.15">
      <c r="A10" s="35" t="s">
        <v>36</v>
      </c>
      <c r="B10" s="52" t="str">
        <f>NUMBERSTRING(C10,1)&amp;"원정(V.A.T포함)"</f>
        <v>삼백구십육만원정(V.A.T포함)</v>
      </c>
      <c r="C10" s="77">
        <f>SUM(H48:I48)</f>
        <v>3960000</v>
      </c>
      <c r="D10" s="77"/>
      <c r="E10" s="9"/>
      <c r="F10" s="10"/>
      <c r="G10" s="10"/>
      <c r="H10" s="10"/>
      <c r="I10" s="11"/>
    </row>
    <row r="11" spans="1:11" ht="42" customHeight="1" x14ac:dyDescent="0.15">
      <c r="A11" s="37" t="s">
        <v>3</v>
      </c>
      <c r="B11" s="38" t="s">
        <v>17</v>
      </c>
      <c r="C11" s="38" t="s">
        <v>18</v>
      </c>
      <c r="D11" s="38" t="s">
        <v>4</v>
      </c>
      <c r="E11" s="38" t="s">
        <v>5</v>
      </c>
      <c r="F11" s="38" t="s">
        <v>6</v>
      </c>
      <c r="G11" s="38" t="s">
        <v>19</v>
      </c>
      <c r="H11" s="38" t="s">
        <v>15</v>
      </c>
      <c r="I11" s="49" t="s">
        <v>25</v>
      </c>
    </row>
    <row r="12" spans="1:11" ht="36" customHeight="1" x14ac:dyDescent="0.15">
      <c r="A12" s="58"/>
      <c r="B12" s="59" t="s">
        <v>21</v>
      </c>
      <c r="C12" s="60"/>
      <c r="D12" s="44" t="s">
        <v>32</v>
      </c>
      <c r="E12" s="44" t="s">
        <v>22</v>
      </c>
      <c r="F12" s="44">
        <v>30</v>
      </c>
      <c r="G12" s="61">
        <v>120000</v>
      </c>
      <c r="H12" s="61">
        <f>+G12*F12</f>
        <v>3600000</v>
      </c>
      <c r="I12" s="62">
        <f>+H12*0.1</f>
        <v>360000</v>
      </c>
    </row>
    <row r="13" spans="1:11" ht="32.1" customHeight="1" x14ac:dyDescent="0.15">
      <c r="A13" s="48">
        <v>1</v>
      </c>
      <c r="B13" s="67" t="s">
        <v>69</v>
      </c>
      <c r="C13" s="68" t="s">
        <v>39</v>
      </c>
      <c r="D13" s="65"/>
      <c r="E13" s="33"/>
      <c r="F13" s="34"/>
      <c r="G13" s="56"/>
      <c r="H13" s="56"/>
      <c r="I13" s="57"/>
    </row>
    <row r="14" spans="1:11" ht="32.1" customHeight="1" x14ac:dyDescent="0.15">
      <c r="A14" s="48">
        <f t="shared" ref="A14:A42" si="0">+A13+1</f>
        <v>2</v>
      </c>
      <c r="B14" s="67" t="s">
        <v>70</v>
      </c>
      <c r="C14" s="68" t="s">
        <v>40</v>
      </c>
      <c r="D14" s="65"/>
      <c r="E14" s="33"/>
      <c r="F14" s="34"/>
      <c r="G14" s="56"/>
      <c r="H14" s="56"/>
      <c r="I14" s="57"/>
      <c r="K14" s="2" t="s">
        <v>8</v>
      </c>
    </row>
    <row r="15" spans="1:11" ht="32.1" customHeight="1" x14ac:dyDescent="0.15">
      <c r="A15" s="48">
        <f t="shared" si="0"/>
        <v>3</v>
      </c>
      <c r="B15" s="67" t="s">
        <v>71</v>
      </c>
      <c r="C15" s="68" t="s">
        <v>41</v>
      </c>
      <c r="D15" s="65"/>
      <c r="E15" s="33"/>
      <c r="F15" s="34"/>
      <c r="G15" s="56"/>
      <c r="H15" s="56"/>
      <c r="I15" s="57"/>
      <c r="K15" s="2"/>
    </row>
    <row r="16" spans="1:11" ht="32.1" customHeight="1" x14ac:dyDescent="0.15">
      <c r="A16" s="48">
        <f t="shared" si="0"/>
        <v>4</v>
      </c>
      <c r="B16" s="67" t="s">
        <v>72</v>
      </c>
      <c r="C16" s="68" t="s">
        <v>42</v>
      </c>
      <c r="D16" s="65"/>
      <c r="E16" s="33"/>
      <c r="F16" s="34"/>
      <c r="G16" s="56"/>
      <c r="H16" s="56"/>
      <c r="I16" s="57"/>
      <c r="K16" s="2"/>
    </row>
    <row r="17" spans="1:11" ht="32.1" customHeight="1" x14ac:dyDescent="0.15">
      <c r="A17" s="48">
        <f t="shared" si="0"/>
        <v>5</v>
      </c>
      <c r="B17" s="67" t="s">
        <v>73</v>
      </c>
      <c r="C17" s="68" t="s">
        <v>43</v>
      </c>
      <c r="D17" s="65"/>
      <c r="E17" s="33"/>
      <c r="F17" s="34"/>
      <c r="G17" s="56"/>
      <c r="H17" s="56"/>
      <c r="I17" s="57"/>
      <c r="K17" s="2"/>
    </row>
    <row r="18" spans="1:11" ht="32.1" customHeight="1" x14ac:dyDescent="0.15">
      <c r="A18" s="48">
        <f t="shared" si="0"/>
        <v>6</v>
      </c>
      <c r="B18" s="67" t="s">
        <v>74</v>
      </c>
      <c r="C18" s="68" t="s">
        <v>44</v>
      </c>
      <c r="D18" s="65"/>
      <c r="E18" s="33"/>
      <c r="F18" s="34"/>
      <c r="G18" s="56"/>
      <c r="H18" s="56"/>
      <c r="I18" s="57"/>
      <c r="K18" s="2"/>
    </row>
    <row r="19" spans="1:11" ht="32.1" customHeight="1" x14ac:dyDescent="0.15">
      <c r="A19" s="48">
        <f t="shared" si="0"/>
        <v>7</v>
      </c>
      <c r="B19" s="67" t="s">
        <v>75</v>
      </c>
      <c r="C19" s="68" t="s">
        <v>45</v>
      </c>
      <c r="D19" s="65"/>
      <c r="E19" s="33"/>
      <c r="F19" s="34"/>
      <c r="G19" s="56"/>
      <c r="H19" s="56"/>
      <c r="I19" s="57"/>
      <c r="K19" s="2"/>
    </row>
    <row r="20" spans="1:11" ht="32.1" customHeight="1" x14ac:dyDescent="0.15">
      <c r="A20" s="48">
        <f t="shared" si="0"/>
        <v>8</v>
      </c>
      <c r="B20" s="67" t="s">
        <v>76</v>
      </c>
      <c r="C20" s="68" t="s">
        <v>46</v>
      </c>
      <c r="D20" s="65"/>
      <c r="E20" s="33"/>
      <c r="F20" s="34"/>
      <c r="G20" s="56"/>
      <c r="H20" s="56"/>
      <c r="I20" s="57"/>
      <c r="K20" s="2"/>
    </row>
    <row r="21" spans="1:11" ht="32.1" customHeight="1" x14ac:dyDescent="0.15">
      <c r="A21" s="48">
        <f t="shared" si="0"/>
        <v>9</v>
      </c>
      <c r="B21" s="67" t="s">
        <v>77</v>
      </c>
      <c r="C21" s="68" t="s">
        <v>47</v>
      </c>
      <c r="D21" s="65"/>
      <c r="E21" s="33"/>
      <c r="F21" s="34"/>
      <c r="G21" s="56"/>
      <c r="H21" s="56"/>
      <c r="I21" s="57"/>
      <c r="K21" s="2"/>
    </row>
    <row r="22" spans="1:11" ht="32.1" customHeight="1" x14ac:dyDescent="0.15">
      <c r="A22" s="48">
        <f t="shared" si="0"/>
        <v>10</v>
      </c>
      <c r="B22" s="67" t="s">
        <v>78</v>
      </c>
      <c r="C22" s="68" t="s">
        <v>48</v>
      </c>
      <c r="D22" s="65"/>
      <c r="E22" s="33"/>
      <c r="F22" s="34"/>
      <c r="G22" s="56"/>
      <c r="H22" s="56"/>
      <c r="I22" s="57"/>
      <c r="K22" s="2"/>
    </row>
    <row r="23" spans="1:11" ht="32.1" customHeight="1" x14ac:dyDescent="0.15">
      <c r="A23" s="48">
        <f t="shared" si="0"/>
        <v>11</v>
      </c>
      <c r="B23" s="67" t="s">
        <v>79</v>
      </c>
      <c r="C23" s="68" t="s">
        <v>49</v>
      </c>
      <c r="D23" s="65"/>
      <c r="E23" s="33"/>
      <c r="F23" s="34"/>
      <c r="G23" s="56"/>
      <c r="H23" s="56"/>
      <c r="I23" s="57"/>
      <c r="K23" s="2"/>
    </row>
    <row r="24" spans="1:11" ht="32.1" customHeight="1" x14ac:dyDescent="0.15">
      <c r="A24" s="48">
        <f t="shared" si="0"/>
        <v>12</v>
      </c>
      <c r="B24" s="67" t="s">
        <v>80</v>
      </c>
      <c r="C24" s="68" t="s">
        <v>50</v>
      </c>
      <c r="D24" s="65"/>
      <c r="E24" s="33"/>
      <c r="F24" s="34"/>
      <c r="G24" s="56"/>
      <c r="H24" s="56"/>
      <c r="I24" s="57"/>
      <c r="K24" s="2"/>
    </row>
    <row r="25" spans="1:11" ht="32.1" customHeight="1" x14ac:dyDescent="0.15">
      <c r="A25" s="48">
        <f t="shared" si="0"/>
        <v>13</v>
      </c>
      <c r="B25" s="67" t="s">
        <v>81</v>
      </c>
      <c r="C25" s="68" t="s">
        <v>51</v>
      </c>
      <c r="D25" s="65"/>
      <c r="E25" s="33"/>
      <c r="F25" s="34"/>
      <c r="G25" s="56"/>
      <c r="H25" s="56"/>
      <c r="I25" s="57"/>
      <c r="K25" s="2"/>
    </row>
    <row r="26" spans="1:11" ht="32.1" customHeight="1" x14ac:dyDescent="0.15">
      <c r="A26" s="48">
        <f t="shared" si="0"/>
        <v>14</v>
      </c>
      <c r="B26" s="67" t="s">
        <v>82</v>
      </c>
      <c r="C26" s="68" t="s">
        <v>52</v>
      </c>
      <c r="D26" s="65"/>
      <c r="E26" s="33"/>
      <c r="F26" s="34"/>
      <c r="G26" s="56"/>
      <c r="H26" s="56"/>
      <c r="I26" s="57"/>
      <c r="K26" s="2"/>
    </row>
    <row r="27" spans="1:11" ht="32.1" customHeight="1" x14ac:dyDescent="0.15">
      <c r="A27" s="48">
        <f t="shared" si="0"/>
        <v>15</v>
      </c>
      <c r="B27" s="67" t="s">
        <v>83</v>
      </c>
      <c r="C27" s="68" t="s">
        <v>53</v>
      </c>
      <c r="D27" s="65"/>
      <c r="E27" s="33"/>
      <c r="F27" s="34"/>
      <c r="G27" s="56"/>
      <c r="H27" s="56"/>
      <c r="I27" s="57"/>
      <c r="K27" s="2"/>
    </row>
    <row r="28" spans="1:11" ht="32.1" customHeight="1" x14ac:dyDescent="0.15">
      <c r="A28" s="48">
        <f t="shared" si="0"/>
        <v>16</v>
      </c>
      <c r="B28" s="67" t="s">
        <v>84</v>
      </c>
      <c r="C28" s="68" t="s">
        <v>54</v>
      </c>
      <c r="D28" s="65"/>
      <c r="E28" s="33"/>
      <c r="F28" s="34"/>
      <c r="G28" s="56"/>
      <c r="H28" s="56"/>
      <c r="I28" s="57"/>
      <c r="K28" s="2"/>
    </row>
    <row r="29" spans="1:11" ht="32.1" customHeight="1" x14ac:dyDescent="0.15">
      <c r="A29" s="48">
        <f t="shared" si="0"/>
        <v>17</v>
      </c>
      <c r="B29" s="67" t="s">
        <v>85</v>
      </c>
      <c r="C29" s="68" t="s">
        <v>55</v>
      </c>
      <c r="D29" s="65"/>
      <c r="E29" s="33"/>
      <c r="F29" s="34"/>
      <c r="G29" s="56"/>
      <c r="H29" s="56"/>
      <c r="I29" s="57"/>
      <c r="K29" s="2"/>
    </row>
    <row r="30" spans="1:11" ht="32.1" customHeight="1" x14ac:dyDescent="0.15">
      <c r="A30" s="48">
        <f t="shared" si="0"/>
        <v>18</v>
      </c>
      <c r="B30" s="67" t="s">
        <v>86</v>
      </c>
      <c r="C30" s="68" t="s">
        <v>56</v>
      </c>
      <c r="D30" s="65"/>
      <c r="E30" s="33"/>
      <c r="F30" s="34"/>
      <c r="G30" s="56"/>
      <c r="H30" s="56"/>
      <c r="I30" s="57"/>
      <c r="K30" s="2"/>
    </row>
    <row r="31" spans="1:11" ht="32.1" customHeight="1" x14ac:dyDescent="0.15">
      <c r="A31" s="48">
        <f t="shared" si="0"/>
        <v>19</v>
      </c>
      <c r="B31" s="67" t="s">
        <v>87</v>
      </c>
      <c r="C31" s="68" t="s">
        <v>57</v>
      </c>
      <c r="D31" s="65"/>
      <c r="E31" s="33"/>
      <c r="F31" s="34"/>
      <c r="G31" s="56"/>
      <c r="H31" s="56"/>
      <c r="I31" s="57"/>
      <c r="K31" s="2"/>
    </row>
    <row r="32" spans="1:11" ht="32.1" customHeight="1" x14ac:dyDescent="0.15">
      <c r="A32" s="48">
        <f t="shared" si="0"/>
        <v>20</v>
      </c>
      <c r="B32" s="67" t="s">
        <v>88</v>
      </c>
      <c r="C32" s="68" t="s">
        <v>58</v>
      </c>
      <c r="D32" s="65"/>
      <c r="E32" s="33"/>
      <c r="F32" s="34"/>
      <c r="G32" s="56"/>
      <c r="H32" s="56"/>
      <c r="I32" s="57"/>
      <c r="K32" s="2"/>
    </row>
    <row r="33" spans="1:11" ht="32.1" customHeight="1" x14ac:dyDescent="0.15">
      <c r="A33" s="48">
        <f t="shared" si="0"/>
        <v>21</v>
      </c>
      <c r="B33" s="67" t="s">
        <v>89</v>
      </c>
      <c r="C33" s="68" t="s">
        <v>59</v>
      </c>
      <c r="D33" s="65"/>
      <c r="E33" s="33"/>
      <c r="F33" s="34"/>
      <c r="G33" s="56"/>
      <c r="H33" s="56"/>
      <c r="I33" s="57"/>
      <c r="K33" s="2"/>
    </row>
    <row r="34" spans="1:11" ht="32.1" customHeight="1" x14ac:dyDescent="0.15">
      <c r="A34" s="48">
        <f t="shared" si="0"/>
        <v>22</v>
      </c>
      <c r="B34" s="67" t="s">
        <v>90</v>
      </c>
      <c r="C34" s="68" t="s">
        <v>60</v>
      </c>
      <c r="D34" s="65"/>
      <c r="E34" s="33"/>
      <c r="F34" s="34"/>
      <c r="G34" s="56"/>
      <c r="H34" s="56"/>
      <c r="I34" s="57"/>
      <c r="K34" s="2"/>
    </row>
    <row r="35" spans="1:11" ht="32.1" customHeight="1" x14ac:dyDescent="0.15">
      <c r="A35" s="48">
        <f t="shared" si="0"/>
        <v>23</v>
      </c>
      <c r="B35" s="67" t="s">
        <v>91</v>
      </c>
      <c r="C35" s="68" t="s">
        <v>61</v>
      </c>
      <c r="D35" s="65"/>
      <c r="E35" s="33"/>
      <c r="F35" s="34"/>
      <c r="G35" s="15"/>
      <c r="H35" s="15"/>
      <c r="I35" s="16"/>
      <c r="K35" s="2"/>
    </row>
    <row r="36" spans="1:11" ht="32.1" customHeight="1" x14ac:dyDescent="0.15">
      <c r="A36" s="48">
        <f t="shared" si="0"/>
        <v>24</v>
      </c>
      <c r="B36" s="67" t="s">
        <v>92</v>
      </c>
      <c r="C36" s="68" t="s">
        <v>62</v>
      </c>
      <c r="D36" s="65"/>
      <c r="E36" s="33"/>
      <c r="F36" s="34"/>
      <c r="G36" s="15"/>
      <c r="H36" s="15"/>
      <c r="I36" s="16"/>
      <c r="K36" s="2"/>
    </row>
    <row r="37" spans="1:11" ht="32.1" customHeight="1" x14ac:dyDescent="0.15">
      <c r="A37" s="48">
        <f t="shared" si="0"/>
        <v>25</v>
      </c>
      <c r="B37" s="67" t="s">
        <v>93</v>
      </c>
      <c r="C37" s="68" t="s">
        <v>63</v>
      </c>
      <c r="D37" s="65"/>
      <c r="E37" s="33"/>
      <c r="F37" s="34"/>
      <c r="G37" s="15"/>
      <c r="H37" s="15"/>
      <c r="I37" s="16"/>
      <c r="K37" s="2"/>
    </row>
    <row r="38" spans="1:11" ht="32.1" customHeight="1" x14ac:dyDescent="0.15">
      <c r="A38" s="48">
        <f t="shared" si="0"/>
        <v>26</v>
      </c>
      <c r="B38" s="67" t="s">
        <v>94</v>
      </c>
      <c r="C38" s="68" t="s">
        <v>64</v>
      </c>
      <c r="D38" s="65"/>
      <c r="E38" s="33"/>
      <c r="F38" s="34"/>
      <c r="G38" s="15"/>
      <c r="H38" s="15"/>
      <c r="I38" s="16"/>
      <c r="K38" s="2"/>
    </row>
    <row r="39" spans="1:11" ht="32.1" customHeight="1" x14ac:dyDescent="0.15">
      <c r="A39" s="48">
        <f t="shared" si="0"/>
        <v>27</v>
      </c>
      <c r="B39" s="67" t="s">
        <v>95</v>
      </c>
      <c r="C39" s="68" t="s">
        <v>65</v>
      </c>
      <c r="D39" s="65"/>
      <c r="E39" s="33"/>
      <c r="F39" s="34"/>
      <c r="G39" s="15"/>
      <c r="H39" s="15"/>
      <c r="I39" s="16"/>
      <c r="K39" s="2"/>
    </row>
    <row r="40" spans="1:11" ht="32.1" customHeight="1" x14ac:dyDescent="0.15">
      <c r="A40" s="48">
        <f t="shared" si="0"/>
        <v>28</v>
      </c>
      <c r="B40" s="67" t="s">
        <v>96</v>
      </c>
      <c r="C40" s="68" t="s">
        <v>66</v>
      </c>
      <c r="D40" s="65"/>
      <c r="E40" s="33"/>
      <c r="F40" s="34"/>
      <c r="G40" s="15"/>
      <c r="H40" s="15"/>
      <c r="I40" s="16"/>
      <c r="K40" s="2"/>
    </row>
    <row r="41" spans="1:11" ht="32.1" customHeight="1" x14ac:dyDescent="0.15">
      <c r="A41" s="48">
        <f t="shared" si="0"/>
        <v>29</v>
      </c>
      <c r="B41" s="67" t="s">
        <v>97</v>
      </c>
      <c r="C41" s="68" t="s">
        <v>67</v>
      </c>
      <c r="D41" s="65"/>
      <c r="E41" s="33"/>
      <c r="F41" s="34"/>
      <c r="G41" s="15"/>
      <c r="H41" s="15"/>
      <c r="I41" s="16"/>
      <c r="K41" s="2"/>
    </row>
    <row r="42" spans="1:11" ht="32.1" customHeight="1" x14ac:dyDescent="0.15">
      <c r="A42" s="48">
        <f t="shared" si="0"/>
        <v>30</v>
      </c>
      <c r="B42" s="67" t="s">
        <v>98</v>
      </c>
      <c r="C42" s="68" t="s">
        <v>68</v>
      </c>
      <c r="D42" s="65"/>
      <c r="E42" s="33"/>
      <c r="F42" s="34"/>
      <c r="G42" s="15"/>
      <c r="H42" s="15"/>
      <c r="I42" s="16"/>
      <c r="K42" s="2"/>
    </row>
    <row r="43" spans="1:11" ht="27.95" customHeight="1" x14ac:dyDescent="0.15">
      <c r="A43" s="48"/>
      <c r="B43" s="63"/>
      <c r="C43" s="64"/>
      <c r="D43" s="13"/>
      <c r="E43" s="13"/>
      <c r="F43" s="14"/>
      <c r="G43" s="18"/>
      <c r="H43" s="19"/>
      <c r="I43" s="20"/>
    </row>
    <row r="44" spans="1:11" ht="27.95" customHeight="1" x14ac:dyDescent="0.15">
      <c r="A44" s="48"/>
      <c r="B44" s="63"/>
      <c r="C44" s="64"/>
      <c r="D44" s="13"/>
      <c r="E44" s="13"/>
      <c r="F44" s="14"/>
      <c r="G44" s="18"/>
      <c r="H44" s="19"/>
      <c r="I44" s="20"/>
    </row>
    <row r="45" spans="1:11" ht="27.95" customHeight="1" x14ac:dyDescent="0.15">
      <c r="A45" s="48"/>
      <c r="B45" s="63"/>
      <c r="C45" s="64"/>
      <c r="D45" s="13"/>
      <c r="E45" s="13"/>
      <c r="F45" s="14"/>
      <c r="G45" s="18"/>
      <c r="H45" s="19"/>
      <c r="I45" s="20"/>
    </row>
    <row r="46" spans="1:11" ht="27.95" customHeight="1" x14ac:dyDescent="0.15">
      <c r="A46" s="48"/>
      <c r="B46" s="63"/>
      <c r="C46" s="64"/>
      <c r="D46" s="13"/>
      <c r="E46" s="13"/>
      <c r="F46" s="14"/>
      <c r="G46" s="18"/>
      <c r="H46" s="19"/>
      <c r="I46" s="20"/>
    </row>
    <row r="47" spans="1:11" ht="27.95" customHeight="1" x14ac:dyDescent="0.15">
      <c r="A47" s="12"/>
      <c r="B47" s="17"/>
      <c r="C47" s="17"/>
      <c r="D47" s="13"/>
      <c r="E47" s="13"/>
      <c r="F47" s="14"/>
      <c r="G47" s="18"/>
      <c r="H47" s="19"/>
      <c r="I47" s="20"/>
    </row>
    <row r="48" spans="1:11" ht="41.25" customHeight="1" x14ac:dyDescent="0.15">
      <c r="A48" s="79" t="s">
        <v>7</v>
      </c>
      <c r="B48" s="80"/>
      <c r="C48" s="21"/>
      <c r="D48" s="42" t="s">
        <v>33</v>
      </c>
      <c r="E48" s="42" t="s">
        <v>22</v>
      </c>
      <c r="F48" s="45">
        <f>SUM(F12:F12)</f>
        <v>30</v>
      </c>
      <c r="G48" s="46">
        <f>+G12</f>
        <v>120000</v>
      </c>
      <c r="H48" s="47">
        <f>SUM(H12:H12)</f>
        <v>3600000</v>
      </c>
      <c r="I48" s="50">
        <f>+H48*0.1</f>
        <v>360000</v>
      </c>
    </row>
    <row r="49" spans="1:9" ht="20.100000000000001" customHeight="1" x14ac:dyDescent="0.3">
      <c r="A49" s="22" t="s">
        <v>16</v>
      </c>
      <c r="B49" s="23"/>
      <c r="C49" s="24"/>
      <c r="D49" s="24"/>
      <c r="E49" s="24"/>
      <c r="F49" s="24"/>
      <c r="G49" s="24"/>
      <c r="H49" s="24"/>
      <c r="I49" s="25"/>
    </row>
    <row r="50" spans="1:9" ht="20.100000000000001" customHeight="1" x14ac:dyDescent="0.3">
      <c r="A50" s="26"/>
      <c r="B50" s="27"/>
      <c r="C50" s="24"/>
      <c r="D50" s="24"/>
      <c r="E50" s="24"/>
      <c r="F50" s="24"/>
      <c r="G50" s="24"/>
      <c r="H50" s="24"/>
      <c r="I50" s="7"/>
    </row>
    <row r="51" spans="1:9" ht="20.100000000000001" customHeight="1" x14ac:dyDescent="0.3">
      <c r="A51" s="26"/>
      <c r="B51" s="27"/>
      <c r="C51" s="24"/>
      <c r="D51" s="24"/>
      <c r="E51" s="24"/>
      <c r="F51" s="24"/>
      <c r="G51" s="24"/>
      <c r="H51" s="24"/>
      <c r="I51" s="7"/>
    </row>
    <row r="52" spans="1:9" ht="20.100000000000001" customHeight="1" x14ac:dyDescent="0.3">
      <c r="A52" s="26"/>
      <c r="B52" s="27"/>
      <c r="C52" s="24"/>
      <c r="D52" s="24"/>
      <c r="E52" s="24"/>
      <c r="F52" s="24"/>
      <c r="G52" s="24"/>
      <c r="H52" s="24"/>
      <c r="I52" s="7"/>
    </row>
    <row r="53" spans="1:9" ht="20.100000000000001" customHeight="1" x14ac:dyDescent="0.3">
      <c r="A53" s="78" t="s">
        <v>23</v>
      </c>
      <c r="B53" s="27"/>
      <c r="C53" s="24"/>
      <c r="D53" s="24"/>
      <c r="E53" s="24"/>
      <c r="F53" s="24"/>
      <c r="G53" s="24"/>
      <c r="H53" s="24"/>
      <c r="I53" s="7"/>
    </row>
    <row r="54" spans="1:9" ht="20.100000000000001" customHeight="1" x14ac:dyDescent="0.3">
      <c r="A54" s="78"/>
      <c r="B54" s="27"/>
      <c r="C54" s="24"/>
      <c r="D54" s="24"/>
      <c r="E54" s="24"/>
      <c r="F54" s="24"/>
      <c r="G54" s="24"/>
      <c r="H54" s="24"/>
      <c r="I54" s="7"/>
    </row>
    <row r="55" spans="1:9" ht="20.100000000000001" customHeight="1" x14ac:dyDescent="0.3">
      <c r="A55" s="43"/>
      <c r="B55" s="27"/>
      <c r="C55" s="24"/>
      <c r="D55" s="24"/>
      <c r="E55" s="24"/>
      <c r="F55" s="24"/>
      <c r="G55" s="24"/>
      <c r="H55" s="24"/>
      <c r="I55" s="7"/>
    </row>
    <row r="56" spans="1:9" ht="20.100000000000001" customHeight="1" x14ac:dyDescent="0.3">
      <c r="A56" s="40"/>
      <c r="B56" s="27"/>
      <c r="C56" s="24"/>
      <c r="D56" s="24"/>
      <c r="E56" s="24"/>
      <c r="F56" s="24"/>
      <c r="G56" s="24"/>
      <c r="H56" s="24"/>
      <c r="I56" s="7"/>
    </row>
    <row r="57" spans="1:9" ht="20.100000000000001" customHeight="1" x14ac:dyDescent="0.3">
      <c r="A57" s="26"/>
      <c r="B57" s="27"/>
      <c r="C57" s="24"/>
      <c r="D57" s="24"/>
      <c r="E57" s="24"/>
      <c r="F57" s="24"/>
      <c r="G57" s="24"/>
      <c r="H57" s="24"/>
      <c r="I57" s="7"/>
    </row>
    <row r="58" spans="1:9" ht="20.100000000000001" customHeight="1" thickBot="1" x14ac:dyDescent="0.35">
      <c r="A58" s="28"/>
      <c r="B58" s="29"/>
      <c r="C58" s="29"/>
      <c r="D58" s="29"/>
      <c r="E58" s="29"/>
      <c r="F58" s="29"/>
      <c r="G58" s="29"/>
      <c r="H58" s="29"/>
      <c r="I58" s="30"/>
    </row>
  </sheetData>
  <mergeCells count="5">
    <mergeCell ref="A1:I2"/>
    <mergeCell ref="A9:B9"/>
    <mergeCell ref="C10:D10"/>
    <mergeCell ref="A53:A54"/>
    <mergeCell ref="A48:B48"/>
  </mergeCells>
  <phoneticPr fontId="2" type="noConversion"/>
  <pageMargins left="0.23622047244094491" right="0.27559055118110237" top="0.47244094488188981" bottom="0.55118110236220474" header="0.31496062992125984" footer="0.39370078740157483"/>
  <pageSetup paperSize="9" scale="78" orientation="portrait" horizontalDpi="1200" verticalDpi="1200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webmaster20@mediacube.co.kr</cp:lastModifiedBy>
  <cp:lastPrinted>2025-12-17T03:41:02Z</cp:lastPrinted>
  <dcterms:created xsi:type="dcterms:W3CDTF">2005-10-28T22:03:04Z</dcterms:created>
  <dcterms:modified xsi:type="dcterms:W3CDTF">2026-08-19T08:16:02Z</dcterms:modified>
</cp:coreProperties>
</file>